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bbb42259e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uimiento semanal" sheetId="1" r:id="R71501c1a070d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4"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C6E0B4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f1a973c894e1e" /><Relationship Type="http://schemas.openxmlformats.org/officeDocument/2006/relationships/theme" Target="/xl/theme/theme1.xml" Id="R4f8052df2500424f" /><Relationship Type="http://schemas.openxmlformats.org/officeDocument/2006/relationships/sharedStrings" Target="/xl/sharedStrings.xml" Id="R5c037e7363aa4d3c" /><Relationship Type="http://schemas.openxmlformats.org/officeDocument/2006/relationships/worksheet" Target="/xl/worksheets/sheet1.xml" Id="R71501c1a070d4356" /></Relationships>
</file>

<file path=xl/tables/table1.xml><?xml version="1.0" encoding="utf-8"?>
<x:table xmlns:x="http://schemas.openxmlformats.org/spreadsheetml/2006/main" id="1" name="SeguimientoTareas" displayName="SeguimientoTareas" ref="A9:I26" headerRowCount="1" totalsRowCount="0" totalsRowShown="0">
  <x:tableColumns count="9">
    <x:tableColumn id="1" name="Área"/>
    <x:tableColumn id="2" name="N.º"/>
    <x:tableColumn id="3" name="Actividad / compromiso"/>
    <x:tableColumn id="4" name="Responsable(s)"/>
    <x:tableColumn id="5" name="Fecha / hito"/>
    <x:tableColumn id="6" name="Estado"/>
    <x:tableColumn id="7" name="% cumplimiento"/>
    <x:tableColumn id="8" name="Evidencia / observaciones"/>
    <x:tableColumn id="9" name="Revisión próxima sema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7c457c73f8490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" hidden="0" customWidth="1"/>
    <x:col min="3" max="3" width="48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38" hidden="0" customWidth="1"/>
    <x:col min="9" max="9" width="28" hidden="0" customWidth="1"/>
  </x:cols>
  <x:sheetData>
    <x:row r="1" ht="28" customHeight="1">
      <x:c r="A1" s="7" t="str">
        <x:v>Seguimiento de tareas del laboratorio</x:v>
      </x:c>
      <x:c r="B1" s="7"/>
      <x:c r="C1" s="7"/>
      <x:c r="D1" s="7"/>
      <x:c r="E1" s="7"/>
      <x:c r="F1" s="7"/>
      <x:c r="G1" s="7"/>
      <x:c r="H1" s="7"/>
      <x:c r="I1" s="7"/>
    </x:row>
    <x:row r="2">
      <x:c r="A2" s="15" t="str">
        <x:v>Tareas registradas: semana 31 de agosto–4 de septiembre de 2026 | Seguimiento: semana 7–11 de septiembre de 2026</x:v>
      </x:c>
      <x:c r="B2" s="15"/>
      <x:c r="C2" s="15"/>
      <x:c r="D2" s="15"/>
      <x:c r="E2" s="15"/>
      <x:c r="F2" s="15"/>
      <x:c r="G2" s="15"/>
      <x:c r="H2" s="15"/>
      <x:c r="I2" s="15"/>
    </x:row>
    <x:row r="4">
      <x:c r="A4" s="26" t="str">
        <x:v>Resumen</x:v>
      </x:c>
      <x:c r="B4" s="27" t="str">
        <x:v>Valor</x:v>
      </x:c>
    </x:row>
    <x:row r="5">
      <x:c r="A5" s="28" t="str">
        <x:v>Total de tareas</x:v>
      </x:c>
      <x:c r="B5" s="29" t="n">
        <x:f>COUNTA(C10:C40)</x:f>
        <x:v>18</x:v>
      </x:c>
    </x:row>
    <x:row r="6">
      <x:c r="A6" s="28" t="str">
        <x:v>Cumplidas</x:v>
      </x:c>
      <x:c r="B6" s="29" t="n">
        <x:f>COUNTIF(F10:F40,"Cumplida")</x:f>
        <x:v>0</x:v>
      </x:c>
    </x:row>
    <x:row r="7">
      <x:c r="A7" s="30" t="str">
        <x:v>Avance global</x:v>
      </x:c>
      <x:c r="B7" s="31" t="n">
        <x:f>IFERROR(AVERAGE(G10:G40),0)</x:f>
        <x:v>0</x:v>
      </x:c>
    </x:row>
    <x:row r="9" ht="34" customHeight="1">
      <x:c r="A9" s="42" t="str">
        <x:v>Área</x:v>
      </x:c>
      <x:c r="B9" s="42" t="str">
        <x:v>N.º</x:v>
      </x:c>
      <x:c r="C9" s="42" t="str">
        <x:v>Actividad / compromiso</x:v>
      </x:c>
      <x:c r="D9" s="42" t="str">
        <x:v>Responsable(s)</x:v>
      </x:c>
      <x:c r="E9" s="42" t="str">
        <x:v>Fecha / hito</x:v>
      </x:c>
      <x:c r="F9" s="42" t="str">
        <x:v>Estado</x:v>
      </x:c>
      <x:c r="G9" s="42" t="str">
        <x:v>% cumplimiento</x:v>
      </x:c>
      <x:c r="H9" s="42" t="str">
        <x:v>Evidencia / observaciones</x:v>
      </x:c>
      <x:c r="I9" s="42" t="str">
        <x:v>Revisión próxima semana</x:v>
      </x:c>
    </x:row>
    <x:row r="10" ht="34" customHeight="1">
      <x:c r="A10" s="54" t="str">
        <x:v>Investigación – Triaxial de enrocados</x:v>
      </x:c>
      <x:c r="B10" s="50" t="n">
        <x:v>1</x:v>
      </x:c>
      <x:c r="C10" s="50" t="str">
        <x:v>Definir el plan de ensayos</x:v>
      </x:c>
      <x:c r="D10" s="50" t="str">
        <x:v>CLGT</x:v>
      </x:c>
      <x:c r="E10" s="50" t="str">
        <x:v>Revisar el viernes</x:v>
      </x:c>
      <x:c r="F10" s="50" t="str">
        <x:v>Pendiente</x:v>
      </x:c>
      <x:c r="G10" s="52" t="n">
        <x:v>0</x:v>
      </x:c>
      <x:c r="H10" s="50" t="str"/>
      <x:c r="I10" s="50" t="str"/>
    </x:row>
    <x:row r="11" ht="34" customHeight="1">
      <x:c r="A11" s="54" t="str">
        <x:v>Investigación – Triaxial de enrocados</x:v>
      </x:c>
      <x:c r="B11" s="50" t="n">
        <x:v>2</x:v>
      </x:c>
      <x:c r="C11" s="50" t="str">
        <x:v>Proponer materiales y cotizar; indicar las especificaciones del material</x:v>
      </x:c>
      <x:c r="D11" s="50" t="str">
        <x:v>AJNG</x:v>
      </x:c>
      <x:c r="E11" s="50" t="str"/>
      <x:c r="F11" s="50" t="str">
        <x:v>Pendiente</x:v>
      </x:c>
      <x:c r="G11" s="52" t="n">
        <x:v>0</x:v>
      </x:c>
      <x:c r="H11" s="50" t="str"/>
      <x:c r="I11" s="50" t="str"/>
    </x:row>
    <x:row r="12" ht="34" customHeight="1">
      <x:c r="A12" s="54" t="str">
        <x:v>Investigación – Temperatura</x:v>
      </x:c>
      <x:c r="B12" s="50" t="n">
        <x:v>1</x:v>
      </x:c>
      <x:c r="C12" s="50" t="str">
        <x:v>Realizar 1 torta</x:v>
      </x:c>
      <x:c r="D12" s="50" t="str">
        <x:v>EABB; GEAMD</x:v>
      </x:c>
      <x:c r="E12" s="50" t="str"/>
      <x:c r="F12" s="50" t="str">
        <x:v>Pendiente</x:v>
      </x:c>
      <x:c r="G12" s="52" t="n">
        <x:v>0</x:v>
      </x:c>
      <x:c r="H12" s="50" t="str"/>
      <x:c r="I12" s="50" t="str"/>
    </x:row>
    <x:row r="13" ht="34" customHeight="1">
      <x:c r="A13" s="54" t="str">
        <x:v>Investigación – Temperatura</x:v>
      </x:c>
      <x:c r="B13" s="50" t="n">
        <x:v>2</x:v>
      </x:c>
      <x:c r="C13" s="50" t="str">
        <x:v>Verificar consolidómetro</x:v>
      </x:c>
      <x:c r="D13" s="50" t="str">
        <x:v>DFRR</x:v>
      </x:c>
      <x:c r="E13" s="50" t="str"/>
      <x:c r="F13" s="50" t="str">
        <x:v>Pendiente</x:v>
      </x:c>
      <x:c r="G13" s="52" t="n">
        <x:v>0</x:v>
      </x:c>
      <x:c r="H13" s="50" t="str"/>
      <x:c r="I13" s="50" t="str"/>
    </x:row>
    <x:row r="14" ht="34" customHeight="1">
      <x:c r="A14" s="54" t="str">
        <x:v>Investigación – Temperatura</x:v>
      </x:c>
      <x:c r="B14" s="50" t="n">
        <x:v>3</x:v>
      </x:c>
      <x:c r="C14" s="50" t="str">
        <x:v>Procesar los datos del triaxial UU a 45 °C</x:v>
      </x:c>
      <x:c r="D14" s="50" t="str">
        <x:v>EAPS</x:v>
      </x:c>
      <x:c r="E14" s="50" t="str"/>
      <x:c r="F14" s="50" t="str">
        <x:v>Pendiente</x:v>
      </x:c>
      <x:c r="G14" s="52" t="n">
        <x:v>0</x:v>
      </x:c>
      <x:c r="H14" s="50" t="str"/>
      <x:c r="I14" s="50" t="str"/>
    </x:row>
    <x:row r="15" ht="34" customHeight="1">
      <x:c r="A15" s="54" t="str">
        <x:v>Investigación – Temperatura</x:v>
      </x:c>
      <x:c r="B15" s="50" t="n">
        <x:v>4</x:v>
      </x:c>
      <x:c r="C15" s="50" t="str">
        <x:v>Calificar las convocatorias de los proyectos</x:v>
      </x:c>
      <x:c r="D15" s="50" t="str">
        <x:v>EAPS</x:v>
      </x:c>
      <x:c r="E15" s="50" t="str"/>
      <x:c r="F15" s="50" t="str">
        <x:v>Pendiente</x:v>
      </x:c>
      <x:c r="G15" s="52" t="n">
        <x:v>0</x:v>
      </x:c>
      <x:c r="H15" s="50" t="str"/>
      <x:c r="I15" s="50" t="str"/>
    </x:row>
    <x:row r="16" ht="34" customHeight="1">
      <x:c r="A16" s="54" t="str">
        <x:v>Investigación – Temperatura</x:v>
      </x:c>
      <x:c r="B16" s="50" t="n">
        <x:v>5</x:v>
      </x:c>
      <x:c r="C16" s="50" t="str">
        <x:v>Estar pendiente de la prórroga</x:v>
      </x:c>
      <x:c r="D16" s="50" t="str">
        <x:v>DFRR</x:v>
      </x:c>
      <x:c r="E16" s="50" t="str"/>
      <x:c r="F16" s="50" t="str">
        <x:v>Pendiente</x:v>
      </x:c>
      <x:c r="G16" s="52" t="n">
        <x:v>0</x:v>
      </x:c>
      <x:c r="H16" s="50" t="str"/>
      <x:c r="I16" s="50" t="str"/>
    </x:row>
    <x:row r="17" ht="34" customHeight="1">
      <x:c r="A17" s="54" t="str">
        <x:v>Investigación – Cámara de succión</x:v>
      </x:c>
      <x:c r="B17" s="50" t="n">
        <x:v>1</x:v>
      </x:c>
      <x:c r="C17" s="50" t="str">
        <x:v>Enviar diseño a Pinzuar</x:v>
      </x:c>
      <x:c r="D17" s="50" t="str">
        <x:v>DFRR</x:v>
      </x:c>
      <x:c r="E17" s="50" t="str"/>
      <x:c r="F17" s="50" t="str">
        <x:v>Pendiente</x:v>
      </x:c>
      <x:c r="G17" s="52" t="n">
        <x:v>0</x:v>
      </x:c>
      <x:c r="H17" s="50" t="str"/>
      <x:c r="I17" s="50" t="str"/>
    </x:row>
    <x:row r="18" ht="34" customHeight="1">
      <x:c r="A18" s="54" t="str">
        <x:v>Investigación – Cámara de succión</x:v>
      </x:c>
      <x:c r="B18" s="50" t="n">
        <x:v>2</x:v>
      </x:c>
      <x:c r="C18" s="50" t="str">
        <x:v>Revisión del estado de conocimiento</x:v>
      </x:c>
      <x:c r="D18" s="50" t="str">
        <x:v>CEAMD</x:v>
      </x:c>
      <x:c r="E18" s="50" t="str"/>
      <x:c r="F18" s="50" t="str">
        <x:v>Pendiente</x:v>
      </x:c>
      <x:c r="G18" s="52" t="n">
        <x:v>0</x:v>
      </x:c>
      <x:c r="H18" s="50" t="str"/>
      <x:c r="I18" s="50" t="str"/>
    </x:row>
    <x:row r="19" ht="34" customHeight="1">
      <x:c r="A19" s="54" t="str">
        <x:v>Investigación – Cámara de succión</x:v>
      </x:c>
      <x:c r="B19" s="50" t="n">
        <x:v>3</x:v>
      </x:c>
      <x:c r="C19" s="50" t="str">
        <x:v>Entender el procedimiento de ensayo</x:v>
      </x:c>
      <x:c r="D19" s="50" t="str">
        <x:v>CEAMD</x:v>
      </x:c>
      <x:c r="E19" s="50" t="str"/>
      <x:c r="F19" s="50" t="str">
        <x:v>Pendiente</x:v>
      </x:c>
      <x:c r="G19" s="52" t="n">
        <x:v>0</x:v>
      </x:c>
      <x:c r="H19" s="50" t="str"/>
      <x:c r="I19" s="50" t="str"/>
    </x:row>
    <x:row r="20" ht="34" customHeight="1">
      <x:c r="A20" s="54" t="str">
        <x:v>Coordinación laboratorio</x:v>
      </x:c>
      <x:c r="B20" s="50" t="n">
        <x:v>1</x:v>
      </x:c>
      <x:c r="C20" s="50" t="str">
        <x:v>Entrevistas de convocatoria</x:v>
      </x:c>
      <x:c r="D20" s="50" t="str">
        <x:v>JECM</x:v>
      </x:c>
      <x:c r="E20" s="50" t="str">
        <x:v>Martes, 13:00–14:00</x:v>
      </x:c>
      <x:c r="F20" s="50" t="str">
        <x:v>Pendiente</x:v>
      </x:c>
      <x:c r="G20" s="52" t="n">
        <x:v>0</x:v>
      </x:c>
      <x:c r="H20" s="50" t="str"/>
      <x:c r="I20" s="50" t="str"/>
    </x:row>
    <x:row r="21" ht="34" customHeight="1">
      <x:c r="A21" s="54" t="str">
        <x:v>Coordinación laboratorio</x:v>
      </x:c>
      <x:c r="B21" s="50" t="n">
        <x:v>2</x:v>
      </x:c>
      <x:c r="C21" s="50" t="str">
        <x:v>Aseo y orden</x:v>
      </x:c>
      <x:c r="D21" s="50" t="str">
        <x:v>JANG</x:v>
      </x:c>
      <x:c r="E21" s="50" t="str">
        <x:v>Viernes</x:v>
      </x:c>
      <x:c r="F21" s="50" t="str">
        <x:v>Pendiente</x:v>
      </x:c>
      <x:c r="G21" s="52" t="n">
        <x:v>0</x:v>
      </x:c>
      <x:c r="H21" s="50" t="str"/>
      <x:c r="I21" s="50" t="str"/>
    </x:row>
    <x:row r="22" ht="34" customHeight="1">
      <x:c r="A22" s="54" t="str">
        <x:v>Coordinación laboratorio</x:v>
      </x:c>
      <x:c r="B22" s="50" t="n">
        <x:v>3</x:v>
      </x:c>
      <x:c r="C22" s="50" t="str">
        <x:v>Seguimiento semanal de actividades</x:v>
      </x:c>
      <x:c r="D22" s="50" t="str">
        <x:v>CLGT</x:v>
      </x:c>
      <x:c r="E22" s="50" t="str">
        <x:v>Presentar el lunes</x:v>
      </x:c>
      <x:c r="F22" s="50" t="str">
        <x:v>Pendiente</x:v>
      </x:c>
      <x:c r="G22" s="52" t="n">
        <x:v>0</x:v>
      </x:c>
      <x:c r="H22" s="50" t="str"/>
      <x:c r="I22" s="50" t="str"/>
    </x:row>
    <x:row r="23" ht="34" customHeight="1">
      <x:c r="A23" s="54" t="str">
        <x:v>Coordinación laboratorio</x:v>
      </x:c>
      <x:c r="B23" s="50" t="n">
        <x:v>4</x:v>
      </x:c>
      <x:c r="C23" s="50" t="str">
        <x:v>Revisar avance de la compra de los marcos de carga</x:v>
      </x:c>
      <x:c r="D23" s="50" t="str">
        <x:v>EAPS</x:v>
      </x:c>
      <x:c r="E23" s="50" t="str"/>
      <x:c r="F23" s="50" t="str">
        <x:v>Pendiente</x:v>
      </x:c>
      <x:c r="G23" s="52" t="n">
        <x:v>0</x:v>
      </x:c>
      <x:c r="H23" s="50" t="str"/>
      <x:c r="I23" s="50" t="str"/>
    </x:row>
    <x:row r="24" ht="34" customHeight="1">
      <x:c r="A24" s="54" t="str">
        <x:v>Extensión</x:v>
      </x:c>
      <x:c r="B24" s="50" t="n">
        <x:v>1</x:v>
      </x:c>
      <x:c r="C24" s="50" t="str">
        <x:v>Ensayos de anillo vial: Límites (8 c/u), CMO (8), VAM (8; 2 días) y granulometría (8 c/u)</x:v>
      </x:c>
      <x:c r="D24" s="50" t="str"/>
      <x:c r="E24" s="50" t="str"/>
      <x:c r="F24" s="50" t="str">
        <x:v>Pendiente</x:v>
      </x:c>
      <x:c r="G24" s="52" t="n">
        <x:v>0</x:v>
      </x:c>
      <x:c r="H24" s="50" t="str"/>
      <x:c r="I24" s="50" t="str"/>
    </x:row>
    <x:row r="25" ht="34" customHeight="1">
      <x:c r="A25" s="54" t="str">
        <x:v>Extensión</x:v>
      </x:c>
      <x:c r="B25" s="50" t="n">
        <x:v>2</x:v>
      </x:c>
      <x:c r="C25" s="50" t="str">
        <x:v>Cálculos: PANDA y GPR; Wn; compresores (1 del AP2); CBR</x:v>
      </x:c>
      <x:c r="D25" s="50" t="str"/>
      <x:c r="E25" s="50" t="str"/>
      <x:c r="F25" s="50" t="str">
        <x:v>Pendiente</x:v>
      </x:c>
      <x:c r="G25" s="52" t="n">
        <x:v>0</x:v>
      </x:c>
      <x:c r="H25" s="50" t="str"/>
      <x:c r="I25" s="50" t="str"/>
    </x:row>
    <x:row r="26" ht="34" customHeight="1">
      <x:c r="A26" s="54" t="str">
        <x:v>Extensión</x:v>
      </x:c>
      <x:c r="B26" s="50" t="n">
        <x:v>3</x:v>
      </x:c>
      <x:c r="C26" s="50" t="str">
        <x:v>Recopilar los parámetros de todos los proyectos y presentar la tabla correspondiente</x:v>
      </x:c>
      <x:c r="D26" s="50" t="str">
        <x:v>Luna Ariza</x:v>
      </x:c>
      <x:c r="E26" s="50" t="str"/>
      <x:c r="F26" s="50" t="str">
        <x:v>Pendiente</x:v>
      </x:c>
      <x:c r="G26" s="52" t="n">
        <x:v>0</x:v>
      </x:c>
      <x:c r="H26" s="50" t="str"/>
      <x:c r="I26" s="50" t="str"/>
    </x:row>
    <x:row r="27">
      <x:c r="A27" t="str">
        <x:v>Coordinación laboratorio</x:v>
      </x:c>
      <x:c r="B27" t="n">
        <x:v>5</x:v>
      </x:c>
      <x:c r="C27" t="str">
        <x:v>Presentar horario</x:v>
      </x:c>
      <x:c r="D27"/>
      <x:c r="E27"/>
      <x:c r="F27" t="str">
        <x:v>Pendiente</x:v>
      </x:c>
      <x:c r="G27" s="2" t="n">
        <x:v>0</x:v>
      </x:c>
      <x:c r="H27"/>
      <x:c r="I27"/>
    </x:row>
    <x:row r="28">
      <x:c r="A28" s="60" t="str">
        <x:v>Nota: se conservaron los responsables que aparecen escritos en el tablero. Las actividades sin responsable visible quedaron en blanco para asignación durante el seguimiento.</x:v>
      </x:c>
      <x:c r="B28" s="60"/>
      <x:c r="C28" s="60"/>
      <x:c r="D28" s="60"/>
      <x:c r="E28" s="60"/>
      <x:c r="F28" s="60"/>
      <x:c r="G28" s="61"/>
      <x:c r="H28" s="60"/>
      <x:c r="I28" s="60"/>
    </x:row>
    <x:row r="29">
      <x:c r="G29" s="2"/>
    </x:row>
    <x:row r="30">
      <x:c r="G30" s="2"/>
    </x:row>
    <x:row r="31">
      <x:c r="G31" s="2"/>
    </x:row>
    <x:row r="32">
      <x:c r="G32" s="2"/>
    </x:row>
    <x:row r="33">
      <x:c r="G33" s="2"/>
    </x:row>
    <x:row r="34">
      <x:c r="G34" s="2"/>
    </x:row>
    <x:row r="35">
      <x:c r="G35" s="2"/>
    </x:row>
    <x:row r="36">
      <x:c r="G36" s="2"/>
    </x:row>
    <x:row r="37">
      <x:c r="G37" s="2"/>
    </x:row>
    <x:row r="38">
      <x:c r="G38" s="2"/>
    </x:row>
    <x:row r="39">
      <x:c r="G39" s="2"/>
    </x:row>
    <x:row r="40">
      <x:c r="G40" s="2"/>
    </x:row>
  </x:sheetData>
  <x:mergeCells>
    <x:mergeCell ref="A1:I1"/>
    <x:mergeCell ref="A2:I2"/>
    <x:mergeCell ref="A28:I28"/>
  </x:mergeCells>
  <x:conditionalFormatting sqref="F10:F40">
    <x:cfRule type="expression" dxfId="0" priority="1">
      <x:formula>F10="Cumplida"</x:formula>
    </x:cfRule>
    <x:cfRule type="expression" dxfId="1" priority="2">
      <x:formula>F10="En proceso"</x:formula>
    </x:cfRule>
    <x:cfRule type="expression" dxfId="2" priority="3">
      <x:formula>F10="Pendiente"</x:formula>
    </x:cfRule>
  </x:conditionalFormatting>
  <x:conditionalFormatting sqref="G10:G4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{6E1B8F0A-3492-CFAB-DAC9-CC1E884F1235}</x14:id>
        </x:ext>
      </x:extLst>
    </x:cfRule>
  </x:conditionalFormatting>
  <x:dataValidations count="2">
    <x:dataValidation type="list" sqref="F10:F40">
      <x:formula1>"Pendiente,En proceso,Cumplida,No aplica"</x:formula1>
    </x:dataValidation>
    <x:dataValidation type="decimal" operator="between" sqref="G10:G4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d7c457c73f8490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6E1B8F0A-3492-CFAB-DAC9-CC1E884F1235}">
            <x14:dataBar gradient="1">
              <x14:cfvo type="min"/>
              <x14:cfvo type="max"/>
              <x14:fillColor rgb="FFA02B93"/>
            </x14:dataBar>
          </x14:cfRule>
          <xm:sqref>G10:G40</xm:sqref>
        </x14:conditionalFormatting>
      </x14:conditionalFormattings>
    </x:ext>
  </x:extLst>
</x:worksheet>
</file>